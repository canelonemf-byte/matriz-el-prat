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enario prudente" sheetId="1" state="visible" r:id="rId1"/>
    <sheet xmlns:r="http://schemas.openxmlformats.org/officeDocument/2006/relationships" name="Simulador IBI bruto" sheetId="2" state="visible" r:id="rId2"/>
    <sheet xmlns:r="http://schemas.openxmlformats.org/officeDocument/2006/relationships" name="Plan y controles" sheetId="3" state="visible" r:id="rId3"/>
  </sheets>
  <definedNames>
    <definedName name="_xlnm._FilterDatabase" localSheetId="0" hidden="1">'Escenario prudente'!$A$1:$E$12</definedName>
    <definedName name="_xlnm._FilterDatabase" localSheetId="1" hidden="1">'Simulador IBI bruto'!$A$1:$G$4</definedName>
    <definedName name="_xlnm._FilterDatabase" localSheetId="2" hidden="1">'Plan y controles'!$A$1:$E$9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7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22" customWidth="1" min="2" max="2"/>
    <col width="27" customWidth="1" min="3" max="3"/>
    <col width="52" customWidth="1" min="4" max="4"/>
    <col width="20" customWidth="1" min="5" max="5"/>
  </cols>
  <sheetData>
    <row r="1" ht="34" customHeight="1">
      <c r="A1" s="1" t="inlineStr">
        <is>
          <t>Partida</t>
        </is>
      </c>
      <c r="B1" s="1" t="inlineStr">
        <is>
          <t>Importe anual M€</t>
        </is>
      </c>
      <c r="C1" s="1" t="inlineStr">
        <is>
          <t>Tratamiento</t>
        </is>
      </c>
      <c r="D1" s="1" t="inlineStr">
        <is>
          <t>Estado / evidencia requerida</t>
        </is>
      </c>
      <c r="E1" s="1" t="inlineStr">
        <is>
          <t>¿Incluida en base?</t>
        </is>
      </c>
    </row>
    <row r="2">
      <c r="A2" s="2" t="inlineStr">
        <is>
          <t>Rebaja IBI general propuesta</t>
        </is>
      </c>
      <c r="B2" s="2" t="n">
        <v>0</v>
      </c>
      <c r="C2" s="2" t="inlineStr">
        <is>
          <t>No presupuestar aún</t>
        </is>
      </c>
      <c r="D2" s="2" t="inlineStr">
        <is>
          <t>Requiere simulación con padrón, tipos por uso, cuota líquida e informe de Intervención</t>
        </is>
      </c>
      <c r="E2" s="2" t="inlineStr">
        <is>
          <t>No</t>
        </is>
      </c>
    </row>
    <row r="3">
      <c r="A3" s="2" t="inlineStr">
        <is>
          <t>Nuevas bonificaciones IBI</t>
        </is>
      </c>
      <c r="B3" s="2" t="n">
        <v>0</v>
      </c>
      <c r="C3" s="2" t="inlineStr">
        <is>
          <t>No presupuestar aún</t>
        </is>
      </c>
      <c r="D3" s="2" t="inlineStr">
        <is>
          <t>Verificar supuestos legales y evitar duplicar bonificaciones ya vigentes</t>
        </is>
      </c>
      <c r="E3" s="2" t="inlineStr">
        <is>
          <t>No</t>
        </is>
      </c>
    </row>
    <row r="4">
      <c r="A4" s="2" t="inlineStr">
        <is>
          <t>Aportación adicional Aena</t>
        </is>
      </c>
      <c r="B4" s="2" t="n">
        <v>0</v>
      </c>
      <c r="C4" s="2" t="inlineStr">
        <is>
          <t>Excluir hasta acuerdo</t>
        </is>
      </c>
      <c r="D4" s="2" t="inlineStr">
        <is>
          <t>No se acredita canon automático del 2% a favor del Ayuntamiento; exigir informe jurídico y acuerdo firmado</t>
        </is>
      </c>
      <c r="E4" s="2" t="inlineStr">
        <is>
          <t>No</t>
        </is>
      </c>
    </row>
    <row r="5">
      <c r="A5" s="2" t="inlineStr">
        <is>
          <t>Ahorro eficiencia gasto corriente</t>
        </is>
      </c>
      <c r="B5" s="2" t="n">
        <v>0</v>
      </c>
      <c r="C5" s="2" t="inlineStr">
        <is>
          <t>Solo ahorro auditado</t>
        </is>
      </c>
      <c r="D5" s="2" t="inlineStr">
        <is>
          <t>Contratos, línea base, calidad de servicio y certificación de Intervención</t>
        </is>
      </c>
      <c r="E5" s="2" t="inlineStr">
        <is>
          <t>No</t>
        </is>
      </c>
    </row>
    <row r="6">
      <c r="A6" s="2" t="inlineStr">
        <is>
          <t>Ahorro neto residuos</t>
        </is>
      </c>
      <c r="B6" s="2" t="n">
        <v>0</v>
      </c>
      <c r="C6" s="2" t="inlineStr">
        <is>
          <t>Solo ahorro auditado</t>
        </is>
      </c>
      <c r="D6" s="2" t="inlineStr">
        <is>
          <t>Toneladas, tarifas reales, contratos, subvenciones, inversión y coste operativo</t>
        </is>
      </c>
      <c r="E6" s="2" t="inlineStr">
        <is>
          <t>No</t>
        </is>
      </c>
    </row>
    <row r="7">
      <c r="A7" s="2" t="inlineStr">
        <is>
          <t>Recargos vivienda vacía</t>
        </is>
      </c>
      <c r="B7" s="2" t="n">
        <v>0</v>
      </c>
      <c r="C7" s="2" t="inlineStr">
        <is>
          <t>Solo recaudación efectiva</t>
        </is>
      </c>
      <c r="D7" s="2" t="inlineStr">
        <is>
          <t>Censo depurado, requisitos legales, alegaciones, gestión y cobro real</t>
        </is>
      </c>
      <c r="E7" s="2" t="inlineStr">
        <is>
          <t>No</t>
        </is>
      </c>
    </row>
    <row r="8">
      <c r="A8" s="2" t="inlineStr">
        <is>
          <t>Sanciones/retirada vehículos</t>
        </is>
      </c>
      <c r="B8" s="2" t="n">
        <v>0</v>
      </c>
      <c r="C8" s="2" t="inlineStr">
        <is>
          <t>Base presupuestaria cero</t>
        </is>
      </c>
      <c r="D8" s="2" t="inlineStr">
        <is>
          <t>Ingresos netos cobrados menos grúa, depósito, personal y litigios</t>
        </is>
      </c>
      <c r="E8" s="2" t="inlineStr">
        <is>
          <t>No</t>
        </is>
      </c>
    </row>
    <row r="9">
      <c r="A9" s="2" t="inlineStr">
        <is>
          <t>Coste tarjeta Mas Blau</t>
        </is>
      </c>
      <c r="B9" s="2" t="n">
        <v>0</v>
      </c>
      <c r="C9" s="2" t="inlineStr">
        <is>
          <t>Pendiente de estudio</t>
        </is>
      </c>
      <c r="D9" s="2" t="inlineStr">
        <is>
          <t>Usuarios, aforo, ingresos, costes y diseño de tarifa social/piloto</t>
        </is>
      </c>
      <c r="E9" s="2" t="inlineStr">
        <is>
          <t>No</t>
        </is>
      </c>
    </row>
    <row r="10">
      <c r="A10" s="2" t="inlineStr">
        <is>
          <t>Coste de transporte social</t>
        </is>
      </c>
      <c r="B10" s="2" t="n">
        <v>0</v>
      </c>
      <c r="C10" s="2" t="inlineStr">
        <is>
          <t>Pendiente de convenio</t>
        </is>
      </c>
      <c r="D10" s="2" t="inlineStr">
        <is>
          <t>Operador, demanda, precio por viaje, financiación recurrente</t>
        </is>
      </c>
      <c r="E10" s="2" t="inlineStr">
        <is>
          <t>No</t>
        </is>
      </c>
    </row>
    <row r="11">
      <c r="A11" s="2" t="inlineStr">
        <is>
          <t>Coste vivienda protegida</t>
        </is>
      </c>
      <c r="B11" s="2" t="n">
        <v>0</v>
      </c>
      <c r="C11" s="2" t="inlineStr">
        <is>
          <t>Por proyecto</t>
        </is>
      </c>
      <c r="D11" s="2" t="inlineStr">
        <is>
          <t>Suelo, proyecto, financiación, licencia, licitación y coste total de ciclo de vida</t>
        </is>
      </c>
      <c r="E11" s="2" t="inlineStr">
        <is>
          <t>No</t>
        </is>
      </c>
    </row>
    <row r="12">
      <c r="A12" s="2" t="inlineStr">
        <is>
          <t>TOTAL DE AHORROS/INGRESOS CONFIRMADOS EN BASE</t>
        </is>
      </c>
      <c r="B12" s="2">
        <f>SUM(B2:B11)</f>
        <v/>
      </c>
      <c r="C12" s="2" t="inlineStr">
        <is>
          <t>No equivale a saldo final</t>
        </is>
      </c>
      <c r="D12" s="2" t="inlineStr">
        <is>
          <t>Solo refleja que no se han acreditado importes cuantificados en este archivo; no implica que no existan ingresos municipales ordinarios.</t>
        </is>
      </c>
      <c r="E12" s="2" t="inlineStr"/>
    </row>
  </sheetData>
  <autoFilter ref="A1:E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  <col width="27" customWidth="1" min="4" max="4"/>
    <col width="28" customWidth="1" min="5" max="5"/>
    <col width="22" customWidth="1" min="6" max="6"/>
    <col width="52" customWidth="1" min="7" max="7"/>
  </cols>
  <sheetData>
    <row r="1" ht="34" customHeight="1">
      <c r="A1" s="1" t="inlineStr">
        <is>
          <t>Valor catastral (€)</t>
        </is>
      </c>
      <c r="B1" s="1" t="inlineStr">
        <is>
          <t>Tipo actual hipotético</t>
        </is>
      </c>
      <c r="C1" s="1" t="inlineStr">
        <is>
          <t>Cuota bruta actual (€)</t>
        </is>
      </c>
      <c r="D1" s="1" t="inlineStr">
        <is>
          <t>Tipo hipotético propuesto</t>
        </is>
      </c>
      <c r="E1" s="1" t="inlineStr">
        <is>
          <t>Cuota bruta hipotética (€)</t>
        </is>
      </c>
      <c r="F1" s="1" t="inlineStr">
        <is>
          <t>Diferencia bruta (€)</t>
        </is>
      </c>
      <c r="G1" s="1" t="inlineStr">
        <is>
          <t>Advertencia</t>
        </is>
      </c>
    </row>
    <row r="2">
      <c r="A2" s="2" t="n">
        <v>90000</v>
      </c>
      <c r="B2" s="2" t="n">
        <v>0.006</v>
      </c>
      <c r="C2" s="2">
        <f>A2*B2</f>
        <v/>
      </c>
      <c r="D2" s="2" t="n">
        <v>0.0052</v>
      </c>
      <c r="E2" s="2">
        <f>A2*D2</f>
        <v/>
      </c>
      <c r="F2" s="2">
        <f>C2-E2</f>
        <v/>
      </c>
      <c r="G2" s="2" t="inlineStr">
        <is>
          <t>Simulación aritmética; no es recibo ni incorpora bonificaciones, tipo por uso, exenciones ni cambios de ordenanza.</t>
        </is>
      </c>
    </row>
    <row r="3">
      <c r="A3" s="2" t="n">
        <v>120000</v>
      </c>
      <c r="B3" s="2" t="n">
        <v>0.006</v>
      </c>
      <c r="C3" s="2">
        <f>A3*B3</f>
        <v/>
      </c>
      <c r="D3" s="2" t="n">
        <v>0.0052</v>
      </c>
      <c r="E3" s="2">
        <f>A3*D3</f>
        <v/>
      </c>
      <c r="F3" s="2">
        <f>C3-E3</f>
        <v/>
      </c>
      <c r="G3" s="2" t="inlineStr">
        <is>
          <t>Simulación aritmética; no es recibo ni incorpora bonificaciones, tipo por uso, exenciones ni cambios de ordenanza.</t>
        </is>
      </c>
    </row>
    <row r="4">
      <c r="A4" s="2" t="n">
        <v>160000</v>
      </c>
      <c r="B4" s="2" t="n">
        <v>0.006</v>
      </c>
      <c r="C4" s="2">
        <f>A4*B4</f>
        <v/>
      </c>
      <c r="D4" s="2" t="n">
        <v>0.0052</v>
      </c>
      <c r="E4" s="2">
        <f>A4*D4</f>
        <v/>
      </c>
      <c r="F4" s="2">
        <f>C4-E4</f>
        <v/>
      </c>
      <c r="G4" s="2" t="inlineStr">
        <is>
          <t>Simulación aritmética; no es recibo ni incorpora bonificaciones, tipo por uso, exenciones ni cambios de ordenanza.</t>
        </is>
      </c>
    </row>
  </sheetData>
  <autoFilter ref="A1:G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7" customWidth="1" min="2" max="2"/>
    <col width="32" customWidth="1" min="3" max="3"/>
    <col width="45" customWidth="1" min="4" max="4"/>
    <col width="45" customWidth="1" min="5" max="5"/>
  </cols>
  <sheetData>
    <row r="1" ht="34" customHeight="1">
      <c r="A1" s="1" t="inlineStr">
        <is>
          <t>Actuación</t>
        </is>
      </c>
      <c r="B1" s="1" t="inlineStr">
        <is>
          <t>Plazo</t>
        </is>
      </c>
      <c r="C1" s="1" t="inlineStr">
        <is>
          <t>Coste</t>
        </is>
      </c>
      <c r="D1" s="1" t="inlineStr">
        <is>
          <t>Condición para avanzar</t>
        </is>
      </c>
      <c r="E1" s="1" t="inlineStr">
        <is>
          <t>Indicador ciudadano</t>
        </is>
      </c>
    </row>
    <row r="2">
      <c r="A2" s="2" t="inlineStr">
        <is>
          <t>Auditoría de recibos y bonificaciones</t>
        </is>
      </c>
      <c r="B2" s="2" t="inlineStr">
        <is>
          <t>0–90 días</t>
        </is>
      </c>
      <c r="C2" s="2" t="inlineStr">
        <is>
          <t>Bajo; personal existente</t>
        </is>
      </c>
      <c r="D2" s="2" t="inlineStr">
        <is>
          <t>Mandato y responsable designado</t>
        </is>
      </c>
      <c r="E2" s="2" t="inlineStr">
        <is>
          <t>€ de ayudas abonadas y hogares beneficiados</t>
        </is>
      </c>
    </row>
    <row r="3">
      <c r="A3" s="2" t="inlineStr">
        <is>
          <t>Publicación de costes de residuos</t>
        </is>
      </c>
      <c r="B3" s="2" t="inlineStr">
        <is>
          <t>0–90 días</t>
        </is>
      </c>
      <c r="C3" s="2" t="inlineStr">
        <is>
          <t>Bajo</t>
        </is>
      </c>
      <c r="D3" s="2" t="inlineStr">
        <is>
          <t>Datos contractuales disponibles</t>
        </is>
      </c>
      <c r="E3" s="2" t="inlineStr">
        <is>
          <t>Coste €/t y ahorro trasladado a recibo</t>
        </is>
      </c>
    </row>
    <row r="4">
      <c r="A4" s="2" t="inlineStr">
        <is>
          <t>Auditoría Zona Naranja</t>
        </is>
      </c>
      <c r="B4" s="2" t="inlineStr">
        <is>
          <t>0–90 días</t>
        </is>
      </c>
      <c r="C4" s="2" t="inlineStr">
        <is>
          <t>Bajo</t>
        </is>
      </c>
      <c r="D4" s="2" t="inlineStr">
        <is>
          <t>Datos de ocupación e ingresos</t>
        </is>
      </c>
      <c r="E4" s="2" t="inlineStr">
        <is>
          <t>Coste neto por trabajador</t>
        </is>
      </c>
    </row>
    <row r="5">
      <c r="A5" s="2" t="inlineStr">
        <is>
          <t>Piloto tarifa social Mas Blau</t>
        </is>
      </c>
      <c r="B5" s="2" t="inlineStr">
        <is>
          <t>3–12 meses</t>
        </is>
      </c>
      <c r="C5" s="2" t="inlineStr">
        <is>
          <t>Tope aprobado antes de empezar</t>
        </is>
      </c>
      <c r="D5" s="2" t="inlineStr">
        <is>
          <t>Informe jurídico + financiación</t>
        </is>
      </c>
      <c r="E5" s="2" t="inlineStr">
        <is>
          <t>Usuarios elegibles y ahorro individual</t>
        </is>
      </c>
    </row>
    <row r="6">
      <c r="A6" s="2" t="inlineStr">
        <is>
          <t>Eficiencia energética municipal</t>
        </is>
      </c>
      <c r="B6" s="2" t="inlineStr">
        <is>
          <t>3–12 meses</t>
        </is>
      </c>
      <c r="C6" s="2" t="inlineStr">
        <is>
          <t>Según auditoría y retorno</t>
        </is>
      </c>
      <c r="D6" s="2" t="inlineStr">
        <is>
          <t>Licitación y ahorro verificable</t>
        </is>
      </c>
      <c r="E6" s="2" t="inlineStr">
        <is>
          <t>kWh y € ahorrados</t>
        </is>
      </c>
    </row>
    <row r="7">
      <c r="A7" s="2" t="inlineStr">
        <is>
          <t>Ayudas de transporte social</t>
        </is>
      </c>
      <c r="B7" s="2" t="inlineStr">
        <is>
          <t>3–12 meses</t>
        </is>
      </c>
      <c r="C7" s="2" t="inlineStr">
        <is>
          <t>Según convenio</t>
        </is>
      </c>
      <c r="D7" s="2" t="inlineStr">
        <is>
          <t>Aprobación operador y presupuesto</t>
        </is>
      </c>
      <c r="E7" s="2" t="inlineStr">
        <is>
          <t>Viajes subvencionados/coste por viaje</t>
        </is>
      </c>
    </row>
    <row r="8">
      <c r="A8" s="2" t="inlineStr">
        <is>
          <t>Cartera de vivienda asequible</t>
        </is>
      </c>
      <c r="B8" s="2" t="inlineStr">
        <is>
          <t>2027–2031</t>
        </is>
      </c>
      <c r="C8" s="2" t="inlineStr">
        <is>
          <t>Por promoción</t>
        </is>
      </c>
      <c r="D8" s="2" t="inlineStr">
        <is>
          <t>Suelo, financiación y licencia</t>
        </is>
      </c>
      <c r="E8" s="2" t="inlineStr">
        <is>
          <t>Viviendas entregadas, no solo anunciadas</t>
        </is>
      </c>
    </row>
    <row r="9">
      <c r="A9" s="2" t="inlineStr">
        <is>
          <t>Revisión de IBI</t>
        </is>
      </c>
      <c r="B9" s="2" t="inlineStr">
        <is>
          <t>Tras simulación</t>
        </is>
      </c>
      <c r="C9" s="2" t="inlineStr">
        <is>
          <t>No fijado</t>
        </is>
      </c>
      <c r="D9" s="2" t="inlineStr">
        <is>
          <t>Impacto distributivo y servicios protegidos</t>
        </is>
      </c>
      <c r="E9" s="2" t="inlineStr">
        <is>
          <t>Ahorro neto por tramo de hogar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2026-10-23T22:33:55Z</dcterms:created>
  <dcterms:modified xmlns:dcterms="http://purl.org/dc/terms/" xmlns:xsi="http://www.w3.org/2001/XMLSchema-instance" xsi:type="dcterms:W3CDTF">2026-10-23T22:33:55Z</dcterms:modified>
</cp:coreProperties>
</file>